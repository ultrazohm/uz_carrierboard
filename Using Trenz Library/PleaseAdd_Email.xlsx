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ga92wum\git\UltraZohm\PCB\UZ_carrier_board\Using Trenz Library\"/>
    </mc:Choice>
  </mc:AlternateContent>
  <bookViews>
    <workbookView xWindow="0" yWindow="0" windowWidth="12160" windowHeight="6180"/>
  </bookViews>
  <sheets>
    <sheet name="BOM_UltraZOhm_CarrierBoard_4v00" sheetId="1" r:id="rId1"/>
  </sheets>
  <definedNames>
    <definedName name="_xlnm.Print_Titles" localSheetId="0">BOM_UltraZOhm_CarrierBoard_4v00!#REF!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<sst xmlns="http://schemas.openxmlformats.org/spreadsheetml/2006/main" count="265" uniqueCount="139">
  <si>
    <t>Quantity</t>
  </si>
  <si>
    <t>Comment</t>
  </si>
  <si>
    <t>Designator</t>
  </si>
  <si>
    <t>MF</t>
  </si>
  <si>
    <t>MPN</t>
  </si>
  <si>
    <t>Value</t>
  </si>
  <si>
    <t>Description</t>
  </si>
  <si>
    <t>Footprint</t>
  </si>
  <si>
    <t>Package</t>
  </si>
  <si>
    <t>Supplier 1</t>
  </si>
  <si>
    <t>Supplier Part Number 1</t>
  </si>
  <si>
    <t>Supplier 2</t>
  </si>
  <si>
    <t>Supplier Part Number 2</t>
  </si>
  <si>
    <t>Supplier 3</t>
  </si>
  <si>
    <t>Supplier Part Number 3</t>
  </si>
  <si>
    <t>SourceLibraryName</t>
  </si>
  <si>
    <t>5A Fast-Acting Fuse</t>
  </si>
  <si>
    <t>F1</t>
  </si>
  <si>
    <t>Littlefuse</t>
  </si>
  <si>
    <t>0154005.DR</t>
  </si>
  <si>
    <t>SMD Fuse 154 Series OMNI-BLOK Fuse and Holder Assembly</t>
  </si>
  <si>
    <t>LITTLEFUSE_154</t>
  </si>
  <si>
    <t>EIA RS–481–2</t>
  </si>
  <si>
    <t>Farnell</t>
  </si>
  <si>
    <t>9943668</t>
  </si>
  <si>
    <t>Mouser</t>
  </si>
  <si>
    <t>576-0154005.DR</t>
  </si>
  <si>
    <t>circuit_protection.IntLib</t>
  </si>
  <si>
    <t>Digi-Key</t>
  </si>
  <si>
    <t>UltraZOhm_CarrierBoard.SchLib</t>
  </si>
  <si>
    <t>0603</t>
  </si>
  <si>
    <t>Wuerth Elektronik</t>
  </si>
  <si>
    <t>SOIC-16 (wide-body)</t>
  </si>
  <si>
    <t>IPL1-102-01-L-D-K</t>
  </si>
  <si>
    <t>X15</t>
  </si>
  <si>
    <t>SAMTEC</t>
  </si>
  <si>
    <t>2.54mm Double Row Terminal Assembly, Right-Angled</t>
  </si>
  <si>
    <t>IPL1-103-01-L-D-K</t>
  </si>
  <si>
    <t>X12</t>
  </si>
  <si>
    <t>2.54mm Double Row Terminal Assembly</t>
  </si>
  <si>
    <t>IPL1-105-01-L-D-K</t>
  </si>
  <si>
    <t>X14</t>
  </si>
  <si>
    <t>IPL1-106-02-L-D-K</t>
  </si>
  <si>
    <t>X10</t>
  </si>
  <si>
    <t>200-IPL110602LDK</t>
  </si>
  <si>
    <t>SAM10584-ND</t>
  </si>
  <si>
    <t>IPL1-108-01-L-D-K</t>
  </si>
  <si>
    <t>X13</t>
  </si>
  <si>
    <t>IPL1-110-02-L-D-K</t>
  </si>
  <si>
    <t>X3</t>
  </si>
  <si>
    <t>2779506</t>
  </si>
  <si>
    <t>200-IPL111002LDK</t>
  </si>
  <si>
    <t>SAM10586-ND</t>
  </si>
  <si>
    <t>LMK00105</t>
  </si>
  <si>
    <t>U32</t>
  </si>
  <si>
    <t>Texas Instruments</t>
  </si>
  <si>
    <t>LMK00105SQ/NOPB</t>
  </si>
  <si>
    <t>Ultra-Low Jitter LVCMOS Fanout Buffer ad Level Translator With Universal Input</t>
  </si>
  <si>
    <t>WQFN24-24_TI</t>
  </si>
  <si>
    <t>WQFN-24</t>
  </si>
  <si>
    <t>2492236</t>
  </si>
  <si>
    <t>926-LMK00105SQ/NOPB</t>
  </si>
  <si>
    <t>296-35192-1-ND</t>
  </si>
  <si>
    <t>WL-SMCW_0603</t>
  </si>
  <si>
    <t>744235900</t>
  </si>
  <si>
    <t>L5A, L5B</t>
  </si>
  <si>
    <t>SMD Shielded Coupled Inductor WE-CNSW, Z=90 Ohm</t>
  </si>
  <si>
    <t>WE-CNSW 1812</t>
  </si>
  <si>
    <t>2249865</t>
  </si>
  <si>
    <t>710-744235900</t>
  </si>
  <si>
    <t>732-4223-1-ND</t>
  </si>
  <si>
    <t>IPL1-104-01-L-S-K</t>
  </si>
  <si>
    <t>X7A, X7B</t>
  </si>
  <si>
    <t>2.54mm Single Row Terminal Assembly, Right Angle</t>
  </si>
  <si>
    <t>MAX14878</t>
  </si>
  <si>
    <t>U6A, U6B</t>
  </si>
  <si>
    <t>Maxim Integrated</t>
  </si>
  <si>
    <t>MAX14878AWE+</t>
  </si>
  <si>
    <t>5kV  Isolated CAN Transceivers</t>
  </si>
  <si>
    <t>SOIC-16_wide-body</t>
  </si>
  <si>
    <t>2792798</t>
  </si>
  <si>
    <t>700-MAX14878AWE+</t>
  </si>
  <si>
    <t>MAX14878AWE+-ND</t>
  </si>
  <si>
    <t>HSEC8-140-01-L-DV-A-BL</t>
  </si>
  <si>
    <t>X5A, X5B, X5C</t>
  </si>
  <si>
    <t>0.8mm High Speed Edge Card Assembly</t>
  </si>
  <si>
    <t>HSEC8-140-01-XX-DV-A-BL</t>
  </si>
  <si>
    <t>2731769</t>
  </si>
  <si>
    <t>200-HSEC814001LDVABL</t>
  </si>
  <si>
    <t>HSEC8-140-01-L-DV-A-BL-ND</t>
  </si>
  <si>
    <t>TXS0108EQPWRQ1</t>
  </si>
  <si>
    <t>U14, U25, U30</t>
  </si>
  <si>
    <t>8-Bit Bi-directional level-shifter</t>
  </si>
  <si>
    <t>TI_PW_R-PDSO-G20_N</t>
  </si>
  <si>
    <t>TSSOP-20</t>
  </si>
  <si>
    <t>595-TXS0108EQPWRQ1</t>
  </si>
  <si>
    <t>296-23011-1-ND</t>
  </si>
  <si>
    <t>760390015</t>
  </si>
  <si>
    <t>U8A, U8B, U20, U28</t>
  </si>
  <si>
    <t>MID-PPTI Push-Pull Transformers for Texas Instruments</t>
  </si>
  <si>
    <t>WE-760390015</t>
  </si>
  <si>
    <t>710-760390015</t>
  </si>
  <si>
    <t>732-4459-1-ND</t>
  </si>
  <si>
    <t>SN6505BDBVT</t>
  </si>
  <si>
    <t>U9A, U9B, U21, U29</t>
  </si>
  <si>
    <t>SN6505 Low-Noise 1-A Transformer Drivers for Isolated Power Supplies</t>
  </si>
  <si>
    <t>TI_SOT23_6-Leads</t>
  </si>
  <si>
    <t>SOT-23 6-pin</t>
  </si>
  <si>
    <t>2507108</t>
  </si>
  <si>
    <t>150060BS75000</t>
  </si>
  <si>
    <t>D12, D24A, D24B, D24C, D24D</t>
  </si>
  <si>
    <t>WL-SMCW SMD Mono-color Chip LED Waterclear, size 0603, Blue, 3.2 V, 140°</t>
  </si>
  <si>
    <t>2322069</t>
  </si>
  <si>
    <t>710-150060BS75000</t>
  </si>
  <si>
    <t>732-4966-1-ND</t>
  </si>
  <si>
    <t>HSEC8-150-01-L-DV-A-BL</t>
  </si>
  <si>
    <t>X6A, X6B, X6C, X6D, X6E</t>
  </si>
  <si>
    <t>HSEC8-150-01-XX-DV-A-BL</t>
  </si>
  <si>
    <t>2731836</t>
  </si>
  <si>
    <t>200-HSEC815001LDVABL</t>
  </si>
  <si>
    <t>HSEC8-150-01-L-DV-A-BL-ND</t>
  </si>
  <si>
    <t>Trenz?</t>
  </si>
  <si>
    <t>hinzufügen!</t>
  </si>
  <si>
    <t>hinzufügen oder 0402 auch ok</t>
  </si>
  <si>
    <t>hinzufügen</t>
  </si>
  <si>
    <t>IPL1-104-02-L-S-K</t>
  </si>
  <si>
    <t>IPL1-103-02-L-D-K</t>
  </si>
  <si>
    <t>IPL1-108-02-L-D-K</t>
  </si>
  <si>
    <t>IPL1-105-02-L-D-K</t>
  </si>
  <si>
    <t>IPL1-102-02-L-D-K</t>
  </si>
  <si>
    <t>Changed from THT to SMD</t>
  </si>
  <si>
    <t>200-IPL110402LSK</t>
  </si>
  <si>
    <t>200-IPL110302LDK</t>
  </si>
  <si>
    <t>200-IPL110802LDK</t>
  </si>
  <si>
    <t>200-IPL110502LDK</t>
  </si>
  <si>
    <t>200-IPL110202LDK</t>
  </si>
  <si>
    <t>Email</t>
  </si>
  <si>
    <t>cad-support@trenz-electronic.de</t>
  </si>
  <si>
    <t>Betreff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</si>
</sst>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Fill="1" applyBorder="1" applyAlignment="1">
      <alignment vertical="center" wrapText="1"/>
    </xf>
    <xf numFmtId="0" fontId="0" fillId="0" borderId="3" xfId="0" applyFill="1" applyBorder="1" applyAlignment="1">
      <alignment vertical="center" wrapText="1"/>
    </xf>
    <xf numFmtId="0" fontId="0" fillId="2" borderId="0" xfId="0" applyFill="1" applyBorder="1" applyAlignment="1">
      <alignment wrapText="1"/>
    </xf>
    <xf numFmtId="0" fontId="2" fillId="0" borderId="0" xfId="1" applyFont="1" applyAlignment="1">
      <alignment wrapText="1"/>
    </xf>
    <xf numFmtId="0" fontId="2" fillId="0" borderId="0" xfId="1" applyFo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ad-support@trenz-electronic.de" TargetMode="External"/><Relationship Id="rId1" Type="http://schemas.openxmlformats.org/officeDocument/2006/relationships/hyperlink" Target="mailto:cad-support@trenz-electronic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18"/>
  <sheetViews>
    <sheetView tabSelected="1" zoomScale="85" zoomScaleNormal="85" zoomScaleSheetLayoutView="90" workbookViewId="0">
      <pane ySplit="1" topLeftCell="A2" activePane="bottomLeft" state="frozen"/>
      <selection activeCell="B1" sqref="B1"/>
      <selection pane="bottomLeft" activeCell="A2" sqref="A2:B6"/>
    </sheetView>
  </sheetViews>
  <sheetFormatPr baseColWidth="10" defaultRowHeight="14.5" x14ac:dyDescent="0.35"/>
  <cols>
    <col min="1" max="1" width="18" customWidth="1"/>
    <col min="2" max="2" width="31.36328125" bestFit="1" customWidth="1"/>
    <col min="3" max="3" width="10.1796875" customWidth="1"/>
    <col min="4" max="4" width="18" customWidth="1"/>
    <col min="5" max="5" width="17" customWidth="1"/>
    <col min="6" max="6" width="18.1796875" customWidth="1"/>
    <col min="7" max="7" width="18.08984375" customWidth="1"/>
    <col min="8" max="8" width="18.54296875" customWidth="1"/>
    <col min="9" max="9" width="45.36328125" customWidth="1"/>
    <col min="10" max="11" width="12.36328125" customWidth="1"/>
    <col min="12" max="12" width="6.1796875" customWidth="1"/>
    <col min="13" max="13" width="10.453125" customWidth="1"/>
    <col min="14" max="14" width="6" customWidth="1"/>
    <col min="15" max="15" width="5.26953125" customWidth="1"/>
    <col min="16" max="16" width="6.26953125" customWidth="1"/>
    <col min="17" max="17" width="6.7265625" customWidth="1"/>
    <col min="18" max="18" width="12.81640625" customWidth="1"/>
    <col min="19" max="19" width="34.36328125" style="6" customWidth="1"/>
    <col min="20" max="20" width="26.6328125" style="6" bestFit="1" customWidth="1"/>
    <col min="21" max="21" width="18.26953125" style="6" customWidth="1"/>
    <col min="22" max="22" width="10.90625" style="6"/>
  </cols>
  <sheetData>
    <row r="1" spans="1:22" ht="72.5" x14ac:dyDescent="0.35">
      <c r="A1" t="s">
        <v>136</v>
      </c>
      <c r="B1" t="s">
        <v>138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9" t="s">
        <v>121</v>
      </c>
      <c r="T1" s="5"/>
      <c r="U1" s="5"/>
      <c r="V1" s="5"/>
    </row>
    <row r="2" spans="1:22" ht="72.5" x14ac:dyDescent="0.35">
      <c r="A2" s="11" t="s">
        <v>137</v>
      </c>
      <c r="B2" s="11" t="str">
        <f>CONCATENATE(F2," ",D2," (TUM)")</f>
        <v>Maxim Integrated MAX14878 (TUM)</v>
      </c>
      <c r="C2" s="2">
        <v>2</v>
      </c>
      <c r="D2" s="3" t="s">
        <v>74</v>
      </c>
      <c r="E2" s="3" t="s">
        <v>75</v>
      </c>
      <c r="F2" s="3" t="s">
        <v>76</v>
      </c>
      <c r="G2" s="3" t="s">
        <v>77</v>
      </c>
      <c r="H2" s="3" t="s">
        <v>74</v>
      </c>
      <c r="I2" s="3" t="s">
        <v>78</v>
      </c>
      <c r="J2" s="3" t="s">
        <v>79</v>
      </c>
      <c r="K2" s="3" t="s">
        <v>32</v>
      </c>
      <c r="L2" s="3" t="s">
        <v>23</v>
      </c>
      <c r="M2" s="3" t="s">
        <v>80</v>
      </c>
      <c r="N2" s="3" t="s">
        <v>25</v>
      </c>
      <c r="O2" s="3" t="s">
        <v>81</v>
      </c>
      <c r="P2" s="3" t="s">
        <v>28</v>
      </c>
      <c r="Q2" s="3" t="s">
        <v>82</v>
      </c>
      <c r="R2" s="3" t="s">
        <v>29</v>
      </c>
      <c r="S2" s="8" t="s">
        <v>124</v>
      </c>
    </row>
    <row r="3" spans="1:22" ht="43.5" x14ac:dyDescent="0.35">
      <c r="A3" s="10" t="s">
        <v>137</v>
      </c>
      <c r="B3" s="11" t="str">
        <f>CONCATENATE(F3," ",D3," (TUM)")</f>
        <v>Wuerth Elektronik 760390015 (TUM)</v>
      </c>
      <c r="C3" s="2">
        <v>4</v>
      </c>
      <c r="D3" s="3" t="s">
        <v>97</v>
      </c>
      <c r="E3" s="3" t="s">
        <v>98</v>
      </c>
      <c r="F3" s="3" t="s">
        <v>31</v>
      </c>
      <c r="G3" s="3" t="s">
        <v>97</v>
      </c>
      <c r="H3" s="3" t="s">
        <v>97</v>
      </c>
      <c r="I3" s="3" t="s">
        <v>99</v>
      </c>
      <c r="J3" s="3" t="s">
        <v>100</v>
      </c>
      <c r="K3" s="2"/>
      <c r="L3" s="3" t="s">
        <v>25</v>
      </c>
      <c r="M3" s="3" t="s">
        <v>101</v>
      </c>
      <c r="N3" s="3" t="s">
        <v>28</v>
      </c>
      <c r="O3" s="3" t="s">
        <v>102</v>
      </c>
      <c r="P3" s="2"/>
      <c r="Q3" s="2"/>
      <c r="R3" s="3" t="s">
        <v>29</v>
      </c>
      <c r="S3" s="8" t="s">
        <v>124</v>
      </c>
    </row>
    <row r="4" spans="1:22" ht="43.5" x14ac:dyDescent="0.35">
      <c r="A4" s="10" t="s">
        <v>137</v>
      </c>
      <c r="B4" s="11" t="str">
        <f t="shared" ref="B4:B18" si="0">CONCATENATE(F4," ",D4," (TUM)")</f>
        <v>Texas Instruments SN6505BDBVT (TUM)</v>
      </c>
      <c r="C4" s="2">
        <v>4</v>
      </c>
      <c r="D4" s="3" t="s">
        <v>103</v>
      </c>
      <c r="E4" s="3" t="s">
        <v>104</v>
      </c>
      <c r="F4" s="3" t="s">
        <v>55</v>
      </c>
      <c r="G4" s="3" t="s">
        <v>103</v>
      </c>
      <c r="H4" s="3" t="s">
        <v>103</v>
      </c>
      <c r="I4" s="3" t="s">
        <v>105</v>
      </c>
      <c r="J4" s="3" t="s">
        <v>106</v>
      </c>
      <c r="K4" s="3" t="s">
        <v>107</v>
      </c>
      <c r="L4" s="3" t="s">
        <v>23</v>
      </c>
      <c r="M4" s="3" t="s">
        <v>108</v>
      </c>
      <c r="N4" s="2"/>
      <c r="O4" s="2"/>
      <c r="P4" s="2"/>
      <c r="Q4" s="2"/>
      <c r="R4" s="3" t="s">
        <v>29</v>
      </c>
      <c r="S4" s="8" t="s">
        <v>124</v>
      </c>
    </row>
    <row r="5" spans="1:22" ht="43.5" x14ac:dyDescent="0.35">
      <c r="A5" s="10" t="s">
        <v>137</v>
      </c>
      <c r="B5" s="11" t="str">
        <f t="shared" si="0"/>
        <v>SAMTEC IPL1-106-02-L-D-K (TUM)</v>
      </c>
      <c r="C5" s="2">
        <v>1</v>
      </c>
      <c r="D5" s="3" t="s">
        <v>42</v>
      </c>
      <c r="E5" s="3" t="s">
        <v>43</v>
      </c>
      <c r="F5" s="3" t="s">
        <v>35</v>
      </c>
      <c r="G5" s="3" t="s">
        <v>42</v>
      </c>
      <c r="H5" s="3" t="s">
        <v>42</v>
      </c>
      <c r="I5" s="3" t="s">
        <v>36</v>
      </c>
      <c r="J5" s="3" t="s">
        <v>42</v>
      </c>
      <c r="K5" s="2"/>
      <c r="L5" s="3" t="s">
        <v>25</v>
      </c>
      <c r="M5" s="3" t="s">
        <v>44</v>
      </c>
      <c r="N5" s="3" t="s">
        <v>28</v>
      </c>
      <c r="O5" s="3" t="s">
        <v>45</v>
      </c>
      <c r="P5" s="2"/>
      <c r="Q5" s="2"/>
      <c r="R5" s="3" t="s">
        <v>29</v>
      </c>
      <c r="S5" s="4" t="s">
        <v>122</v>
      </c>
    </row>
    <row r="6" spans="1:22" ht="58" x14ac:dyDescent="0.35">
      <c r="A6" s="10" t="s">
        <v>137</v>
      </c>
      <c r="B6" s="11" t="str">
        <f t="shared" si="0"/>
        <v>SAMTEC IPL1-110-02-L-D-K (TUM)</v>
      </c>
      <c r="C6" s="2">
        <v>1</v>
      </c>
      <c r="D6" s="3" t="s">
        <v>48</v>
      </c>
      <c r="E6" s="3" t="s">
        <v>49</v>
      </c>
      <c r="F6" s="3" t="s">
        <v>35</v>
      </c>
      <c r="G6" s="3" t="s">
        <v>48</v>
      </c>
      <c r="H6" s="3" t="s">
        <v>48</v>
      </c>
      <c r="I6" s="3" t="s">
        <v>39</v>
      </c>
      <c r="J6" s="3" t="s">
        <v>48</v>
      </c>
      <c r="K6" s="2"/>
      <c r="L6" s="3" t="s">
        <v>23</v>
      </c>
      <c r="M6" s="3" t="s">
        <v>50</v>
      </c>
      <c r="N6" s="3" t="s">
        <v>25</v>
      </c>
      <c r="O6" s="3" t="s">
        <v>51</v>
      </c>
      <c r="P6" s="3" t="s">
        <v>28</v>
      </c>
      <c r="Q6" s="3" t="s">
        <v>52</v>
      </c>
      <c r="R6" s="3" t="s">
        <v>29</v>
      </c>
      <c r="S6" s="4" t="s">
        <v>122</v>
      </c>
    </row>
    <row r="7" spans="1:22" ht="58" x14ac:dyDescent="0.35">
      <c r="A7" s="10" t="s">
        <v>137</v>
      </c>
      <c r="B7" s="10" t="str">
        <f t="shared" si="0"/>
        <v>SAMTEC IPL1-104-02-L-S-K (TUM)</v>
      </c>
      <c r="C7" s="2">
        <v>2</v>
      </c>
      <c r="D7" s="3" t="s">
        <v>125</v>
      </c>
      <c r="E7" s="3" t="s">
        <v>72</v>
      </c>
      <c r="F7" s="3" t="s">
        <v>35</v>
      </c>
      <c r="G7" s="3" t="s">
        <v>125</v>
      </c>
      <c r="H7" s="3" t="s">
        <v>125</v>
      </c>
      <c r="I7" s="3" t="s">
        <v>73</v>
      </c>
      <c r="J7" s="3"/>
      <c r="K7" s="2"/>
      <c r="L7" s="3"/>
      <c r="M7" s="3"/>
      <c r="N7" s="3" t="s">
        <v>25</v>
      </c>
      <c r="O7" s="6" t="s">
        <v>131</v>
      </c>
      <c r="P7" s="3"/>
      <c r="Q7" s="3"/>
      <c r="R7" s="3"/>
      <c r="S7" s="4" t="s">
        <v>122</v>
      </c>
      <c r="T7" s="6" t="s">
        <v>130</v>
      </c>
      <c r="U7" s="3" t="s">
        <v>71</v>
      </c>
    </row>
    <row r="8" spans="1:22" ht="29" x14ac:dyDescent="0.35">
      <c r="A8" s="10" t="s">
        <v>137</v>
      </c>
      <c r="B8" s="10" t="str">
        <f t="shared" si="0"/>
        <v>SAMTEC IPL1-103-02-L-D-K (TUM)</v>
      </c>
      <c r="C8" s="2">
        <v>1</v>
      </c>
      <c r="D8" s="3" t="s">
        <v>126</v>
      </c>
      <c r="E8" s="3" t="s">
        <v>38</v>
      </c>
      <c r="F8" s="3" t="s">
        <v>35</v>
      </c>
      <c r="G8" s="3" t="s">
        <v>126</v>
      </c>
      <c r="H8" s="3" t="s">
        <v>126</v>
      </c>
      <c r="I8" s="3" t="s">
        <v>39</v>
      </c>
      <c r="J8" s="3"/>
      <c r="K8" s="2"/>
      <c r="L8" s="3"/>
      <c r="M8" s="3"/>
      <c r="N8" s="3" t="s">
        <v>25</v>
      </c>
      <c r="O8" t="s">
        <v>132</v>
      </c>
      <c r="P8" s="3"/>
      <c r="Q8" s="3"/>
      <c r="R8" s="3"/>
      <c r="S8" s="4" t="s">
        <v>122</v>
      </c>
      <c r="T8" s="6" t="s">
        <v>130</v>
      </c>
      <c r="U8" s="3" t="s">
        <v>37</v>
      </c>
    </row>
    <row r="9" spans="1:22" ht="29" x14ac:dyDescent="0.35">
      <c r="A9" s="10" t="s">
        <v>137</v>
      </c>
      <c r="B9" s="10" t="str">
        <f t="shared" si="0"/>
        <v>SAMTEC IPL1-108-02-L-D-K (TUM)</v>
      </c>
      <c r="C9" s="2">
        <v>1</v>
      </c>
      <c r="D9" s="3" t="s">
        <v>127</v>
      </c>
      <c r="E9" s="3" t="s">
        <v>47</v>
      </c>
      <c r="F9" s="3" t="s">
        <v>35</v>
      </c>
      <c r="G9" s="3" t="s">
        <v>127</v>
      </c>
      <c r="H9" s="3" t="s">
        <v>127</v>
      </c>
      <c r="I9" s="3" t="s">
        <v>39</v>
      </c>
      <c r="J9" s="3"/>
      <c r="K9" s="2"/>
      <c r="L9" s="3"/>
      <c r="M9" s="3"/>
      <c r="N9" s="3" t="s">
        <v>25</v>
      </c>
      <c r="O9" t="s">
        <v>133</v>
      </c>
      <c r="P9" s="3"/>
      <c r="Q9" s="3"/>
      <c r="R9" s="3"/>
      <c r="S9" s="4" t="s">
        <v>122</v>
      </c>
      <c r="T9" s="6" t="s">
        <v>130</v>
      </c>
      <c r="U9" s="3" t="s">
        <v>46</v>
      </c>
    </row>
    <row r="10" spans="1:22" ht="29" x14ac:dyDescent="0.35">
      <c r="A10" s="10" t="s">
        <v>137</v>
      </c>
      <c r="B10" s="10" t="str">
        <f t="shared" si="0"/>
        <v>SAMTEC IPL1-105-02-L-D-K (TUM)</v>
      </c>
      <c r="C10" s="2">
        <v>1</v>
      </c>
      <c r="D10" s="3" t="s">
        <v>128</v>
      </c>
      <c r="E10" s="3" t="s">
        <v>41</v>
      </c>
      <c r="F10" s="3" t="s">
        <v>35</v>
      </c>
      <c r="G10" s="3" t="s">
        <v>128</v>
      </c>
      <c r="H10" s="3" t="s">
        <v>128</v>
      </c>
      <c r="I10" s="3" t="s">
        <v>39</v>
      </c>
      <c r="J10" s="3"/>
      <c r="K10" s="2"/>
      <c r="L10" s="3"/>
      <c r="M10" s="3"/>
      <c r="N10" s="3" t="s">
        <v>25</v>
      </c>
      <c r="O10" t="s">
        <v>134</v>
      </c>
      <c r="P10" s="3"/>
      <c r="Q10" s="3"/>
      <c r="R10" s="3"/>
      <c r="S10" s="4" t="s">
        <v>122</v>
      </c>
      <c r="T10" s="6" t="s">
        <v>130</v>
      </c>
      <c r="U10" s="3" t="s">
        <v>40</v>
      </c>
    </row>
    <row r="11" spans="1:22" ht="29" x14ac:dyDescent="0.35">
      <c r="A11" s="10" t="s">
        <v>137</v>
      </c>
      <c r="B11" s="10" t="str">
        <f t="shared" si="0"/>
        <v>SAMTEC IPL1-102-02-L-D-K (TUM)</v>
      </c>
      <c r="C11" s="2">
        <v>1</v>
      </c>
      <c r="D11" s="3" t="s">
        <v>129</v>
      </c>
      <c r="E11" s="3" t="s">
        <v>34</v>
      </c>
      <c r="F11" s="3" t="s">
        <v>35</v>
      </c>
      <c r="G11" s="3" t="s">
        <v>129</v>
      </c>
      <c r="H11" s="3" t="s">
        <v>129</v>
      </c>
      <c r="I11" s="3" t="s">
        <v>36</v>
      </c>
      <c r="J11" s="3"/>
      <c r="K11" s="2"/>
      <c r="L11" s="3"/>
      <c r="M11" s="3"/>
      <c r="N11" s="3" t="s">
        <v>25</v>
      </c>
      <c r="O11" t="s">
        <v>135</v>
      </c>
      <c r="P11" s="3"/>
      <c r="Q11" s="3"/>
      <c r="R11" s="3"/>
      <c r="S11" s="4" t="s">
        <v>122</v>
      </c>
      <c r="T11" s="6" t="s">
        <v>130</v>
      </c>
      <c r="U11" s="3" t="s">
        <v>33</v>
      </c>
    </row>
    <row r="12" spans="1:22" ht="72.5" x14ac:dyDescent="0.35">
      <c r="A12" s="10" t="s">
        <v>137</v>
      </c>
      <c r="B12" s="10" t="str">
        <f t="shared" si="0"/>
        <v>SAMTEC HSEC8-140-01-L-DV-A-BL (TUM)</v>
      </c>
      <c r="C12" s="2">
        <v>3</v>
      </c>
      <c r="D12" s="3" t="s">
        <v>83</v>
      </c>
      <c r="E12" s="3" t="s">
        <v>84</v>
      </c>
      <c r="F12" s="3" t="s">
        <v>35</v>
      </c>
      <c r="G12" s="3" t="s">
        <v>83</v>
      </c>
      <c r="H12" s="3" t="s">
        <v>83</v>
      </c>
      <c r="I12" s="3" t="s">
        <v>85</v>
      </c>
      <c r="J12" s="3" t="s">
        <v>86</v>
      </c>
      <c r="K12" s="2"/>
      <c r="L12" s="3" t="s">
        <v>23</v>
      </c>
      <c r="M12" s="3" t="s">
        <v>87</v>
      </c>
      <c r="N12" s="3" t="s">
        <v>25</v>
      </c>
      <c r="O12" s="3" t="s">
        <v>88</v>
      </c>
      <c r="P12" s="3" t="s">
        <v>28</v>
      </c>
      <c r="Q12" s="3" t="s">
        <v>89</v>
      </c>
      <c r="R12" s="3" t="s">
        <v>29</v>
      </c>
      <c r="S12" s="4" t="s">
        <v>122</v>
      </c>
    </row>
    <row r="13" spans="1:22" ht="72.5" x14ac:dyDescent="0.35">
      <c r="A13" s="10" t="s">
        <v>137</v>
      </c>
      <c r="B13" s="10" t="str">
        <f t="shared" si="0"/>
        <v>SAMTEC HSEC8-150-01-L-DV-A-BL (TUM)</v>
      </c>
      <c r="C13" s="2">
        <v>5</v>
      </c>
      <c r="D13" s="3" t="s">
        <v>115</v>
      </c>
      <c r="E13" s="3" t="s">
        <v>116</v>
      </c>
      <c r="F13" s="3" t="s">
        <v>35</v>
      </c>
      <c r="G13" s="3" t="s">
        <v>115</v>
      </c>
      <c r="H13" s="3" t="s">
        <v>115</v>
      </c>
      <c r="I13" s="3" t="s">
        <v>85</v>
      </c>
      <c r="J13" s="3" t="s">
        <v>117</v>
      </c>
      <c r="K13" s="2"/>
      <c r="L13" s="3" t="s">
        <v>23</v>
      </c>
      <c r="M13" s="3" t="s">
        <v>118</v>
      </c>
      <c r="N13" s="3" t="s">
        <v>25</v>
      </c>
      <c r="O13" s="3" t="s">
        <v>119</v>
      </c>
      <c r="P13" s="3" t="s">
        <v>28</v>
      </c>
      <c r="Q13" s="3" t="s">
        <v>120</v>
      </c>
      <c r="R13" s="3" t="s">
        <v>29</v>
      </c>
      <c r="S13" s="4" t="s">
        <v>122</v>
      </c>
    </row>
    <row r="14" spans="1:22" ht="87" x14ac:dyDescent="0.35">
      <c r="A14" s="10" t="s">
        <v>137</v>
      </c>
      <c r="B14" s="10" t="str">
        <f t="shared" si="0"/>
        <v>Texas Instruments LMK00105 (TUM)</v>
      </c>
      <c r="C14" s="2">
        <v>1</v>
      </c>
      <c r="D14" s="3" t="s">
        <v>53</v>
      </c>
      <c r="E14" s="3" t="s">
        <v>54</v>
      </c>
      <c r="F14" s="3" t="s">
        <v>55</v>
      </c>
      <c r="G14" s="3" t="s">
        <v>56</v>
      </c>
      <c r="H14" s="3" t="s">
        <v>53</v>
      </c>
      <c r="I14" s="3" t="s">
        <v>57</v>
      </c>
      <c r="J14" s="3" t="s">
        <v>58</v>
      </c>
      <c r="K14" s="3" t="s">
        <v>59</v>
      </c>
      <c r="L14" s="3" t="s">
        <v>23</v>
      </c>
      <c r="M14" s="3" t="s">
        <v>60</v>
      </c>
      <c r="N14" s="3" t="s">
        <v>25</v>
      </c>
      <c r="O14" s="3" t="s">
        <v>61</v>
      </c>
      <c r="P14" s="3" t="s">
        <v>28</v>
      </c>
      <c r="Q14" s="3" t="s">
        <v>62</v>
      </c>
      <c r="R14" s="3" t="s">
        <v>29</v>
      </c>
      <c r="S14" s="4" t="s">
        <v>122</v>
      </c>
    </row>
    <row r="15" spans="1:22" ht="58" x14ac:dyDescent="0.35">
      <c r="A15" s="10" t="s">
        <v>137</v>
      </c>
      <c r="B15" s="10" t="str">
        <f t="shared" si="0"/>
        <v>Texas Instruments TXS0108EQPWRQ1 (TUM)</v>
      </c>
      <c r="C15" s="2">
        <v>3</v>
      </c>
      <c r="D15" s="3" t="s">
        <v>90</v>
      </c>
      <c r="E15" s="3" t="s">
        <v>91</v>
      </c>
      <c r="F15" s="3" t="s">
        <v>55</v>
      </c>
      <c r="G15" s="3" t="s">
        <v>90</v>
      </c>
      <c r="H15" s="3" t="s">
        <v>90</v>
      </c>
      <c r="I15" s="3" t="s">
        <v>92</v>
      </c>
      <c r="J15" s="3" t="s">
        <v>93</v>
      </c>
      <c r="K15" s="3" t="s">
        <v>94</v>
      </c>
      <c r="L15" s="3" t="s">
        <v>25</v>
      </c>
      <c r="M15" s="3" t="s">
        <v>95</v>
      </c>
      <c r="N15" s="3" t="s">
        <v>28</v>
      </c>
      <c r="O15" s="3" t="s">
        <v>96</v>
      </c>
      <c r="P15" s="2"/>
      <c r="Q15" s="2"/>
      <c r="R15" s="3" t="s">
        <v>29</v>
      </c>
      <c r="S15" s="6" t="s">
        <v>124</v>
      </c>
    </row>
    <row r="16" spans="1:22" ht="58" x14ac:dyDescent="0.35">
      <c r="A16" s="10" t="s">
        <v>137</v>
      </c>
      <c r="B16" s="10" t="str">
        <f t="shared" si="0"/>
        <v>Littlefuse 5A Fast-Acting Fuse (TUM)</v>
      </c>
      <c r="C16" s="2">
        <v>1</v>
      </c>
      <c r="D16" s="3" t="s">
        <v>16</v>
      </c>
      <c r="E16" s="3" t="s">
        <v>17</v>
      </c>
      <c r="F16" s="3" t="s">
        <v>18</v>
      </c>
      <c r="G16" s="3" t="s">
        <v>19</v>
      </c>
      <c r="H16" s="3" t="s">
        <v>16</v>
      </c>
      <c r="I16" s="3" t="s">
        <v>20</v>
      </c>
      <c r="J16" s="3" t="s">
        <v>21</v>
      </c>
      <c r="K16" s="3" t="s">
        <v>22</v>
      </c>
      <c r="L16" s="3" t="s">
        <v>23</v>
      </c>
      <c r="M16" s="3" t="s">
        <v>24</v>
      </c>
      <c r="N16" s="3" t="s">
        <v>25</v>
      </c>
      <c r="O16" s="3" t="s">
        <v>26</v>
      </c>
      <c r="P16" s="2"/>
      <c r="Q16" s="2"/>
      <c r="R16" s="3" t="s">
        <v>27</v>
      </c>
      <c r="S16" s="4" t="s">
        <v>122</v>
      </c>
    </row>
    <row r="17" spans="1:19" ht="58" x14ac:dyDescent="0.35">
      <c r="A17" s="10" t="s">
        <v>137</v>
      </c>
      <c r="B17" s="10" t="str">
        <f t="shared" si="0"/>
        <v>Wuerth Elektronik 744235900 (TUM)</v>
      </c>
      <c r="C17" s="2">
        <v>2</v>
      </c>
      <c r="D17" s="3" t="s">
        <v>64</v>
      </c>
      <c r="E17" s="3" t="s">
        <v>65</v>
      </c>
      <c r="F17" s="3" t="s">
        <v>31</v>
      </c>
      <c r="G17" s="3" t="s">
        <v>64</v>
      </c>
      <c r="H17" s="3" t="s">
        <v>64</v>
      </c>
      <c r="I17" s="3" t="s">
        <v>66</v>
      </c>
      <c r="J17" s="3" t="s">
        <v>67</v>
      </c>
      <c r="K17" s="2"/>
      <c r="L17" s="3" t="s">
        <v>23</v>
      </c>
      <c r="M17" s="3" t="s">
        <v>68</v>
      </c>
      <c r="N17" s="3" t="s">
        <v>25</v>
      </c>
      <c r="O17" s="3" t="s">
        <v>69</v>
      </c>
      <c r="P17" s="3" t="s">
        <v>28</v>
      </c>
      <c r="Q17" s="3" t="s">
        <v>70</v>
      </c>
      <c r="R17" s="3" t="s">
        <v>29</v>
      </c>
      <c r="S17" s="4" t="s">
        <v>124</v>
      </c>
    </row>
    <row r="18" spans="1:19" ht="72.5" x14ac:dyDescent="0.35">
      <c r="A18" s="10" t="s">
        <v>137</v>
      </c>
      <c r="B18" s="10" t="str">
        <f t="shared" si="0"/>
        <v>Wuerth Elektronik 150060BS75000 (TUM)</v>
      </c>
      <c r="C18" s="2">
        <v>5</v>
      </c>
      <c r="D18" s="3" t="s">
        <v>109</v>
      </c>
      <c r="E18" s="3" t="s">
        <v>110</v>
      </c>
      <c r="F18" s="3" t="s">
        <v>31</v>
      </c>
      <c r="G18" s="3" t="s">
        <v>109</v>
      </c>
      <c r="H18" s="3" t="s">
        <v>109</v>
      </c>
      <c r="I18" s="3" t="s">
        <v>111</v>
      </c>
      <c r="J18" s="3" t="s">
        <v>63</v>
      </c>
      <c r="K18" s="3" t="s">
        <v>30</v>
      </c>
      <c r="L18" s="3" t="s">
        <v>23</v>
      </c>
      <c r="M18" s="3" t="s">
        <v>112</v>
      </c>
      <c r="N18" s="3" t="s">
        <v>25</v>
      </c>
      <c r="O18" s="3" t="s">
        <v>113</v>
      </c>
      <c r="P18" s="3" t="s">
        <v>28</v>
      </c>
      <c r="Q18" s="3" t="s">
        <v>114</v>
      </c>
      <c r="R18" s="3" t="s">
        <v>29</v>
      </c>
      <c r="S18" s="7" t="s">
        <v>123</v>
      </c>
    </row>
  </sheetData>
  <sortState ref="C1:V44">
    <sortCondition ref="E1"/>
  </sortState>
  <hyperlinks>
    <hyperlink ref="A3:A18" r:id="rId1" display="cad-support@trenz-electronic.de"/>
    <hyperlink ref="A2" r:id="rId2"/>
  </hyperlinks>
  <printOptions horizontalCentered="1" verticalCentered="1"/>
  <pageMargins left="0.30555555555555558" right="0.30555555555555558" top="0.30555555555555558" bottom="0.30555555555555558" header="0" footer="0"/>
  <pageSetup paperSize="9" scale="45" orientation="landscape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BOM_UltraZOhm_CarrierBoard_4v00</vt:lpstr>
    </vt:vector>
  </TitlesOfParts>
  <Company>Leibniz-Rechenzentrum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Liegmann, Eyke</dc:creator>
  <cp:lastModifiedBy>Liegmann, Eyke</cp:lastModifiedBy>
  <dcterms:created xsi:type="dcterms:W3CDTF">2020-11-18T17:49:30Z</dcterms:created>
  <dcterms:modified xsi:type="dcterms:W3CDTF">2020-11-24T15:08:19Z</dcterms:modified>
</cp:coreProperties>
</file>