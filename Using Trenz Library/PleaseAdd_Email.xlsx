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Using Trenz Library\"/>
    </mc:Choice>
  </mc:AlternateContent>
  <bookViews>
    <workbookView xWindow="0" yWindow="0" windowWidth="12160" windowHeight="6180"/>
  </bookViews>
  <sheets>
    <sheet name="BOM_UltraZOhm_CarrierBoard_4v00" sheetId="1" r:id="rId1"/>
  </sheets>
  <definedNames>
    <definedName name="_xlnm.Print_Titles" localSheetId="0">BOM_UltraZOhm_CarrierBoard_4v00!#REF!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<sst xmlns="http://schemas.openxmlformats.org/spreadsheetml/2006/main" count="74" uniqueCount="58">
  <si>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</si>
  <si>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</si>
  <si>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</si>
  <si>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</si>
  <si>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</si>
  <si>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</si>
  <si>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</si>
  <si>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</si>
  <si>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</si>
  <si>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</si>
  <si>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</si>
  <si>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</si>
  <si>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</si>
  <si>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</si>
  <si>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</si>
  <si>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SourceLibraryName</t>
  </si>
  <si>
    <t>Mouser</t>
  </si>
  <si>
    <t>Digi-Key</t>
  </si>
  <si>
    <t>UltraZOhm_CarrierBoard.SchLib</t>
  </si>
  <si>
    <t>Texas Instruments</t>
  </si>
  <si>
    <t>Trenz?</t>
  </si>
  <si>
    <t>hinzufügen</t>
  </si>
  <si>
    <t>Email</t>
  </si>
  <si>
    <t>cad-support@trenz-electronic.de</t>
  </si>
  <si>
    <t>Betreff</t>
  </si>
  <si>
    <t>prev: LA4128V-75TN100C</t>
  </si>
  <si>
    <t>U4A, U4B, U4C, U4D, U4E</t>
  </si>
  <si>
    <t>Lattice</t>
  </si>
  <si>
    <t>LC4128V-75TN100C</t>
  </si>
  <si>
    <t xml:space="preserve">CPLD - 400MHZ 128 Macrocell 3.3 V 7.5 tPD </t>
  </si>
  <si>
    <t>TQFP100_N</t>
  </si>
  <si>
    <t>TQFP100</t>
  </si>
  <si>
    <t xml:space="preserve">842-4128V75TN100C </t>
  </si>
  <si>
    <t>220-1044-ND</t>
  </si>
  <si>
    <t>Commercial grade</t>
  </si>
  <si>
    <t>prev: 'ADUM4401</t>
  </si>
  <si>
    <t>U18</t>
  </si>
  <si>
    <t xml:space="preserve">ISO7741QDWRQ1 </t>
  </si>
  <si>
    <t>ISO7741-Q1</t>
  </si>
  <si>
    <t>Reinforced Quad-Channel Digital Isolators</t>
  </si>
  <si>
    <t>595-ISO7741QDWRQ1</t>
  </si>
  <si>
    <t>Andreas hat es rausgesucht</t>
  </si>
  <si>
    <t>prev: 'ADUM4402</t>
  </si>
  <si>
    <t>U24, U26</t>
  </si>
  <si>
    <t>ISO7742QDWRQ1</t>
  </si>
  <si>
    <t>ISO7742-Q1</t>
  </si>
  <si>
    <t>595-ISO7742QDWRQ1</t>
  </si>
  <si>
    <t>74HC32A</t>
  </si>
  <si>
    <t>U15, U16</t>
  </si>
  <si>
    <t>ON Semiconductor</t>
  </si>
  <si>
    <t>NLV74HC32ADTR2G</t>
  </si>
  <si>
    <t>74HC32A Quad 2-input OR gate</t>
  </si>
  <si>
    <t>TSSOP14</t>
  </si>
  <si>
    <t>TSSOP-14</t>
  </si>
  <si>
    <t>863-NLV74HC32ADTR2G</t>
  </si>
  <si>
    <t>NLV74HC32ADTR2GOSCT-ND</t>
  </si>
  <si>
    <t>logic_ics.IntLib</t>
  </si>
  <si>
    <t>gibt’s nichts passendes in der Trenz 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</si>
</sst>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Border="1" applyAlignment="1">
      <alignment wrapText="1"/>
    </xf>
    <xf numFmtId="0" fontId="2" fillId="0" borderId="0" xfId="1" applyFont="1" applyAlignment="1">
      <alignment wrapText="1"/>
    </xf>
    <xf numFmtId="0" fontId="2" fillId="0" borderId="0" xfId="1" applyFont="1"/>
    <xf numFmtId="0" fontId="4" fillId="0" borderId="0" xfId="0" applyFont="1"/>
    <xf numFmtId="0" fontId="3" fillId="3" borderId="0" xfId="2" applyAlignment="1">
      <alignment wrapText="1"/>
    </xf>
  </cellXfs>
  <cellStyles count="3">
    <cellStyle name="Link" xfId="1" builtinId="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d-support@trenz-electronic.de" TargetMode="External"/><Relationship Id="rId1" Type="http://schemas.openxmlformats.org/officeDocument/2006/relationships/hyperlink" Target="mailto:cad-support@trenz-electronic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"/>
  <sheetViews>
    <sheetView tabSelected="1" zoomScale="85" zoomScaleNormal="85" zoomScaleSheetLayoutView="90" workbookViewId="0">
      <pane ySplit="1" topLeftCell="A2" activePane="bottomLeft" state="frozen"/>
      <selection activeCell="B1" sqref="B1"/>
      <selection pane="bottomLeft" activeCell="D15" sqref="D15"/>
    </sheetView>
  </sheetViews>
  <sheetFormatPr baseColWidth="10" defaultRowHeight="14.5" x14ac:dyDescent="0.35"/>
  <cols>
    <col min="1" max="1" width="18" customWidth="1"/>
    <col min="2" max="2" width="22.453125" customWidth="1"/>
    <col min="3" max="3" width="10.1796875" customWidth="1"/>
    <col min="4" max="4" width="18" customWidth="1"/>
    <col min="5" max="5" width="17" customWidth="1"/>
    <col min="6" max="6" width="18.1796875" customWidth="1"/>
    <col min="7" max="7" width="18.08984375" customWidth="1"/>
    <col min="8" max="8" width="18.54296875" customWidth="1"/>
    <col min="9" max="9" width="45.36328125" customWidth="1"/>
    <col min="10" max="11" width="12.36328125" customWidth="1"/>
    <col min="12" max="12" width="6.1796875" customWidth="1"/>
    <col min="13" max="13" width="10.453125" customWidth="1"/>
    <col min="14" max="14" width="6" customWidth="1"/>
    <col min="15" max="15" width="5.26953125" customWidth="1"/>
    <col min="16" max="16" width="6.26953125" customWidth="1"/>
    <col min="17" max="17" width="6.7265625" customWidth="1"/>
    <col min="18" max="18" width="12.81640625" customWidth="1"/>
    <col min="19" max="19" width="34.36328125" style="6" customWidth="1"/>
    <col min="20" max="20" width="26.6328125" style="6" bestFit="1" customWidth="1"/>
    <col min="21" max="21" width="18.26953125" style="6" customWidth="1"/>
    <col min="22" max="22" width="10.90625" style="6"/>
  </cols>
  <sheetData>
    <row r="1" spans="1:22" ht="72.5" x14ac:dyDescent="0.35">
      <c r="A1" t="s">
        <v>22</v>
      </c>
      <c r="B1" t="s">
        <v>24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7" t="s">
        <v>20</v>
      </c>
      <c r="T1" s="5"/>
      <c r="U1" s="5"/>
      <c r="V1" s="5"/>
    </row>
    <row r="2" spans="1:22" ht="43.5" x14ac:dyDescent="0.35">
      <c r="A2" s="9" t="s">
        <v>23</v>
      </c>
      <c r="B2" s="8" t="str">
        <f>CONCATENATE(F2," ",G2," (TUM)")</f>
        <v>Lattice LC4128V-75TN100C (TUM)</v>
      </c>
      <c r="C2" s="2">
        <v>5</v>
      </c>
      <c r="D2" s="10" t="s">
        <v>25</v>
      </c>
      <c r="E2" s="3" t="s">
        <v>26</v>
      </c>
      <c r="F2" s="3" t="s">
        <v>27</v>
      </c>
      <c r="G2" s="10" t="s">
        <v>28</v>
      </c>
      <c r="H2" s="3"/>
      <c r="I2" s="3" t="s">
        <v>29</v>
      </c>
      <c r="J2" s="3" t="s">
        <v>30</v>
      </c>
      <c r="K2" s="3" t="s">
        <v>31</v>
      </c>
      <c r="L2" s="3" t="s">
        <v>16</v>
      </c>
      <c r="M2" s="6" t="s">
        <v>32</v>
      </c>
      <c r="N2" s="3" t="s">
        <v>17</v>
      </c>
      <c r="O2" s="6" t="s">
        <v>33</v>
      </c>
      <c r="P2" s="2"/>
      <c r="Q2" s="2"/>
      <c r="R2" s="3" t="s">
        <v>18</v>
      </c>
      <c r="S2" s="4" t="s">
        <v>21</v>
      </c>
      <c r="T2" s="6" t="s">
        <v>34</v>
      </c>
    </row>
    <row r="3" spans="1:22" ht="43.5" x14ac:dyDescent="0.35">
      <c r="A3" s="8" t="s">
        <v>23</v>
      </c>
      <c r="B3" s="8" t="str">
        <f t="shared" ref="B3:B5" si="0">CONCATENATE(F3," ",G3," (TUM)")</f>
        <v>Texas Instruments ISO7741QDWRQ1  (TUM)</v>
      </c>
      <c r="C3" s="2">
        <v>1</v>
      </c>
      <c r="D3" s="3" t="s">
        <v>35</v>
      </c>
      <c r="E3" s="3" t="s">
        <v>36</v>
      </c>
      <c r="F3" s="3" t="s">
        <v>19</v>
      </c>
      <c r="G3" s="3" t="s">
        <v>37</v>
      </c>
      <c r="H3" s="3" t="s">
        <v>38</v>
      </c>
      <c r="I3" s="3" t="s">
        <v>39</v>
      </c>
      <c r="J3" s="3"/>
      <c r="K3" s="3"/>
      <c r="L3" s="3" t="s">
        <v>16</v>
      </c>
      <c r="M3" s="6" t="s">
        <v>40</v>
      </c>
      <c r="N3" s="3"/>
      <c r="O3" s="3"/>
      <c r="P3" s="2"/>
      <c r="Q3" s="2"/>
      <c r="R3" s="3" t="s">
        <v>18</v>
      </c>
      <c r="S3" s="4" t="s">
        <v>21</v>
      </c>
      <c r="T3" t="s">
        <v>41</v>
      </c>
    </row>
    <row r="4" spans="1:22" ht="43.5" x14ac:dyDescent="0.35">
      <c r="A4" s="8" t="s">
        <v>23</v>
      </c>
      <c r="B4" s="8" t="str">
        <f t="shared" si="0"/>
        <v>Texas Instruments ISO7742QDWRQ1 (TUM)</v>
      </c>
      <c r="C4" s="2">
        <v>2</v>
      </c>
      <c r="D4" s="3" t="s">
        <v>42</v>
      </c>
      <c r="E4" s="3" t="s">
        <v>43</v>
      </c>
      <c r="F4" s="3" t="s">
        <v>19</v>
      </c>
      <c r="G4" s="3" t="s">
        <v>44</v>
      </c>
      <c r="H4" s="3" t="s">
        <v>45</v>
      </c>
      <c r="I4" s="3" t="s">
        <v>39</v>
      </c>
      <c r="J4" s="3"/>
      <c r="K4" s="3"/>
      <c r="L4" s="3" t="s">
        <v>16</v>
      </c>
      <c r="M4" s="3" t="s">
        <v>46</v>
      </c>
      <c r="N4" s="2"/>
      <c r="O4" s="2"/>
      <c r="P4" s="2"/>
      <c r="Q4" s="2"/>
      <c r="R4" s="3" t="s">
        <v>18</v>
      </c>
      <c r="S4" s="6" t="s">
        <v>21</v>
      </c>
      <c r="T4" t="s">
        <v>41</v>
      </c>
    </row>
    <row r="5" spans="1:22" ht="87" x14ac:dyDescent="0.35">
      <c r="A5" s="8" t="s">
        <v>23</v>
      </c>
      <c r="B5" s="8" t="str">
        <f t="shared" si="0"/>
        <v>ON Semiconductor NLV74HC32ADTR2G (TUM)</v>
      </c>
      <c r="C5" s="2">
        <v>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47</v>
      </c>
      <c r="I5" s="3" t="s">
        <v>51</v>
      </c>
      <c r="J5" s="3" t="s">
        <v>52</v>
      </c>
      <c r="K5" s="3" t="s">
        <v>53</v>
      </c>
      <c r="L5" s="3" t="s">
        <v>16</v>
      </c>
      <c r="M5" s="3" t="s">
        <v>54</v>
      </c>
      <c r="N5" s="3" t="s">
        <v>17</v>
      </c>
      <c r="O5" s="3" t="s">
        <v>55</v>
      </c>
      <c r="P5" s="2"/>
      <c r="Q5" s="2"/>
      <c r="R5" s="3" t="s">
        <v>56</v>
      </c>
      <c r="S5" s="4" t="s">
        <v>21</v>
      </c>
      <c r="T5" s="11" t="s">
        <v>57</v>
      </c>
    </row>
  </sheetData>
  <sortState ref="C1:V44">
    <sortCondition ref="E1"/>
  </sortState>
  <hyperlinks>
    <hyperlink ref="A3:A5" r:id="rId1" display="cad-support@trenz-electronic.de"/>
    <hyperlink ref="A2" r:id="rId2"/>
  </hyperlinks>
  <printOptions horizontalCentered="1" verticalCentered="1"/>
  <pageMargins left="0.30555555555555558" right="0.30555555555555558" top="0.30555555555555558" bottom="0.30555555555555558" header="0" footer="0"/>
  <pageSetup paperSize="9" scale="45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BOM_UltraZOhm_CarrierBoard_4v00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2020-11-18T17:49:30Z</dcterms:created>
  <dcterms:modified xsi:type="dcterms:W3CDTF">2020-11-27T12:56:25Z</dcterms:modified>
</cp:coreProperties>
</file>