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manufacturing reports\BOM\"/>
    </mc:Choice>
  </mc:AlternateContent>
  <bookViews>
    <workbookView xWindow="0" yWindow="0" windowWidth="29540" windowHeight="141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F7" i="1" s="1"/>
  <c r="E5" i="1"/>
  <c r="F5" i="1" s="1"/>
  <c r="E6" i="1"/>
  <c r="F6" i="1" s="1"/>
  <c r="F9" i="1"/>
  <c r="F8" i="1"/>
  <c r="F3" i="1"/>
  <c r="F4" i="1"/>
  <c r="F11" i="1" l="1"/>
  <c r="F13" i="1" s="1"/>
</calcChain>
</file>

<file path=xl/sharedStrings.xml><?xml version="1.0" encoding="utf-8"?>
<sst xmlns="http://schemas.openxmlformats.org/spreadsheetml/2006/main" count="46" uniqueCount="40">
  <si>
    <t>AN</t>
  </si>
  <si>
    <t>Quantity</t>
  </si>
  <si>
    <t>Designator</t>
  </si>
  <si>
    <t>Comment</t>
  </si>
  <si>
    <t>31505</t>
  </si>
  <si>
    <t>U14, U30</t>
  </si>
  <si>
    <t>(cs) TXS0108EQPWRQ1</t>
  </si>
  <si>
    <t>31971</t>
  </si>
  <si>
    <t>U23A, U23B</t>
  </si>
  <si>
    <t>(cs) TPS54260DGQR</t>
  </si>
  <si>
    <t>31504</t>
  </si>
  <si>
    <t>U17, U25A, U25B, U25C, U31</t>
  </si>
  <si>
    <t>(cs) SN74AVC4T774RSVR</t>
  </si>
  <si>
    <t>31885</t>
  </si>
  <si>
    <t>U4A, U4B, U4C, U4D, U4E</t>
  </si>
  <si>
    <t>(cs) LC4256V-75TN100C</t>
  </si>
  <si>
    <t>31527</t>
  </si>
  <si>
    <t>U24A, U24B, U24C</t>
  </si>
  <si>
    <t>(cs) ADUM4402BRWZ</t>
  </si>
  <si>
    <t>31526</t>
  </si>
  <si>
    <t>U18</t>
  </si>
  <si>
    <t>(cs) ADUM4401ARWZ</t>
  </si>
  <si>
    <t xml:space="preserve">Beistellungen Carrierboard Rev04 </t>
  </si>
  <si>
    <t>Anzahl Carrierboards</t>
  </si>
  <si>
    <t>Preis per Part (ca.)</t>
  </si>
  <si>
    <t>Preis</t>
  </si>
  <si>
    <t>U9A, U9B, U21, U29</t>
  </si>
  <si>
    <t>(handbestückt)</t>
  </si>
  <si>
    <t>Summe pro Carrier</t>
  </si>
  <si>
    <t>Source</t>
  </si>
  <si>
    <t>LCSC</t>
  </si>
  <si>
    <t>Währung</t>
  </si>
  <si>
    <t>USD</t>
  </si>
  <si>
    <t xml:space="preserve">Schukat </t>
  </si>
  <si>
    <t>EUR</t>
  </si>
  <si>
    <t xml:space="preserve">TI </t>
  </si>
  <si>
    <t>RS</t>
  </si>
  <si>
    <t>not sure</t>
  </si>
  <si>
    <t>?</t>
  </si>
  <si>
    <t>SN6501DBVR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</si>
</sst>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  <xf numFmtId="0" fontId="0" fillId="2" borderId="2" xfId="0" applyFill="1" applyBorder="1"/>
    <xf numFmtId="0" fontId="0" fillId="0" borderId="0" xfId="0" applyFill="1" applyBorder="1"/>
    <xf numFmtId="8" fontId="0" fillId="0" borderId="0" xfId="0" applyNumberFormat="1"/>
    <xf numFmtId="0" fontId="0" fillId="0" borderId="2" xfId="0" applyFill="1" applyBorder="1"/>
    <xf numFmtId="164" fontId="0" fillId="0" borderId="0" xfId="0" applyNumberFormat="1"/>
    <xf numFmtId="164" fontId="0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D9" sqref="D9"/>
    </sheetView>
  </sheetViews>
  <sheetFormatPr baseColWidth="10" defaultRowHeight="14.5" x14ac:dyDescent="0.35"/>
  <cols>
    <col min="1" max="1" width="16.08984375" customWidth="1"/>
    <col min="4" max="4" width="22.453125" bestFit="1" customWidth="1"/>
    <col min="5" max="5" width="16.08984375" bestFit="1" customWidth="1"/>
  </cols>
  <sheetData>
    <row r="1" spans="1:8" x14ac:dyDescent="0.35">
      <c r="A1" t="s">
        <v>22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4" t="s">
        <v>24</v>
      </c>
      <c r="F2" s="4" t="s">
        <v>25</v>
      </c>
      <c r="G2" s="4" t="s">
        <v>29</v>
      </c>
      <c r="H2" s="4" t="s">
        <v>31</v>
      </c>
    </row>
    <row r="3" spans="1:8" x14ac:dyDescent="0.35">
      <c r="A3" s="2" t="s">
        <v>4</v>
      </c>
      <c r="B3" s="3">
        <v>2</v>
      </c>
      <c r="C3" s="2" t="s">
        <v>5</v>
      </c>
      <c r="D3" s="2" t="s">
        <v>6</v>
      </c>
      <c r="E3" s="6">
        <v>1</v>
      </c>
      <c r="F3" s="6">
        <f>E3*B3</f>
        <v>2</v>
      </c>
      <c r="G3" t="s">
        <v>37</v>
      </c>
      <c r="H3" t="s">
        <v>38</v>
      </c>
    </row>
    <row r="4" spans="1:8" x14ac:dyDescent="0.35">
      <c r="A4" s="2" t="s">
        <v>7</v>
      </c>
      <c r="B4" s="3">
        <v>2</v>
      </c>
      <c r="C4" s="2" t="s">
        <v>8</v>
      </c>
      <c r="D4" s="2" t="s">
        <v>9</v>
      </c>
      <c r="E4" s="6">
        <v>1.24</v>
      </c>
      <c r="F4" s="6">
        <f>E4*B4</f>
        <v>2.48</v>
      </c>
      <c r="G4" t="s">
        <v>30</v>
      </c>
      <c r="H4" t="s">
        <v>32</v>
      </c>
    </row>
    <row r="5" spans="1:8" x14ac:dyDescent="0.35">
      <c r="A5" s="2" t="s">
        <v>10</v>
      </c>
      <c r="B5" s="3">
        <v>5</v>
      </c>
      <c r="C5" s="2" t="s">
        <v>11</v>
      </c>
      <c r="D5" s="2" t="s">
        <v>12</v>
      </c>
      <c r="E5" s="8">
        <f xml:space="preserve"> 138.75/250</f>
        <v>0.55500000000000005</v>
      </c>
      <c r="F5" s="6">
        <f t="shared" ref="F5:F9" si="0">E5*B5</f>
        <v>2.7750000000000004</v>
      </c>
      <c r="G5" t="s">
        <v>35</v>
      </c>
      <c r="H5" t="s">
        <v>34</v>
      </c>
    </row>
    <row r="6" spans="1:8" x14ac:dyDescent="0.35">
      <c r="A6" s="2" t="s">
        <v>13</v>
      </c>
      <c r="B6" s="3">
        <v>5</v>
      </c>
      <c r="C6" s="2" t="s">
        <v>14</v>
      </c>
      <c r="D6" s="2" t="s">
        <v>15</v>
      </c>
      <c r="E6" s="8">
        <f>1240.72/52</f>
        <v>23.86</v>
      </c>
      <c r="F6" s="6">
        <f t="shared" si="0"/>
        <v>119.3</v>
      </c>
      <c r="G6" t="s">
        <v>33</v>
      </c>
      <c r="H6" t="s">
        <v>34</v>
      </c>
    </row>
    <row r="7" spans="1:8" x14ac:dyDescent="0.35">
      <c r="A7" s="2" t="s">
        <v>16</v>
      </c>
      <c r="B7" s="3">
        <v>3</v>
      </c>
      <c r="C7" s="2" t="s">
        <v>17</v>
      </c>
      <c r="D7" s="2" t="s">
        <v>18</v>
      </c>
      <c r="E7" s="9">
        <f>177.3/30</f>
        <v>5.91</v>
      </c>
      <c r="F7" s="6">
        <f t="shared" si="0"/>
        <v>17.73</v>
      </c>
      <c r="G7" t="s">
        <v>36</v>
      </c>
      <c r="H7" t="s">
        <v>34</v>
      </c>
    </row>
    <row r="8" spans="1:8" x14ac:dyDescent="0.35">
      <c r="A8" s="2" t="s">
        <v>19</v>
      </c>
      <c r="B8" s="3">
        <v>1</v>
      </c>
      <c r="C8" s="2" t="s">
        <v>20</v>
      </c>
      <c r="D8" s="2" t="s">
        <v>21</v>
      </c>
      <c r="E8" s="6">
        <v>5.19</v>
      </c>
      <c r="F8" s="6">
        <f t="shared" si="0"/>
        <v>5.19</v>
      </c>
      <c r="G8" t="s">
        <v>36</v>
      </c>
      <c r="H8" t="s">
        <v>34</v>
      </c>
    </row>
    <row r="9" spans="1:8" x14ac:dyDescent="0.35">
      <c r="A9" t="s">
        <v>27</v>
      </c>
      <c r="B9" s="7">
        <v>4</v>
      </c>
      <c r="C9" s="3" t="s">
        <v>26</v>
      </c>
      <c r="D9" t="s">
        <v>39</v>
      </c>
      <c r="E9" s="6">
        <v>2.1800000000000002</v>
      </c>
      <c r="F9" s="6">
        <f t="shared" si="0"/>
        <v>8.7200000000000006</v>
      </c>
      <c r="G9" t="s">
        <v>30</v>
      </c>
      <c r="H9" t="s">
        <v>32</v>
      </c>
    </row>
    <row r="11" spans="1:8" x14ac:dyDescent="0.35">
      <c r="D11" s="5" t="s">
        <v>28</v>
      </c>
      <c r="F11" s="6">
        <f>SUM(F3:F10)</f>
        <v>158.19499999999999</v>
      </c>
    </row>
    <row r="13" spans="1:8" x14ac:dyDescent="0.35">
      <c r="D13" s="5" t="s">
        <v>23</v>
      </c>
      <c r="E13">
        <v>10</v>
      </c>
      <c r="F13" s="6">
        <f>E13*F11</f>
        <v>1581.9499999999998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2022-08-04T12:29:41Z</dcterms:created>
  <dcterms:modified xsi:type="dcterms:W3CDTF">2022-08-04T12:58:05Z</dcterms:modified>
</cp:coreProperties>
</file>